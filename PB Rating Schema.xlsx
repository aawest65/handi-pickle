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enWestermann\projects\pickleball-ratings\"/>
    </mc:Choice>
  </mc:AlternateContent>
  <xr:revisionPtr revIDLastSave="0" documentId="13_ncr:1_{E3942947-015E-4BDB-8731-D869EA051E81}" xr6:coauthVersionLast="47" xr6:coauthVersionMax="47" xr10:uidLastSave="{00000000-0000-0000-0000-000000000000}"/>
  <bookViews>
    <workbookView xWindow="-96" yWindow="-96" windowWidth="23232" windowHeight="12432" tabRatio="843" xr2:uid="{7672815B-56A8-4CD5-9E30-9A3247F4B7D1}"/>
  </bookViews>
  <sheets>
    <sheet name="Rating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3" i="4" l="1"/>
  <c r="V23" i="4"/>
  <c r="V24" i="4"/>
  <c r="V26" i="4"/>
  <c r="V25" i="4"/>
  <c r="AM26" i="4" l="1"/>
  <c r="AM24" i="4"/>
  <c r="AM25" i="4"/>
  <c r="AM23" i="4"/>
  <c r="AN23" i="4" l="1"/>
  <c r="AN25" i="4" s="1"/>
  <c r="AN26" i="4" l="1"/>
  <c r="AN24" i="4"/>
  <c r="AC9" i="4" l="1"/>
  <c r="AA23" i="4" s="1"/>
  <c r="W25" i="4"/>
  <c r="X23" i="4" s="1"/>
  <c r="W23" i="4"/>
  <c r="X25" i="4" s="1"/>
  <c r="X26" i="4" s="1"/>
  <c r="I24" i="4"/>
  <c r="K23" i="4"/>
  <c r="L23" i="4"/>
  <c r="AH23" i="4"/>
  <c r="AI23" i="4" s="1"/>
  <c r="AG9" i="4"/>
  <c r="AG10" i="4"/>
  <c r="AG11" i="4"/>
  <c r="AG8" i="4"/>
  <c r="AC25" i="4"/>
  <c r="AC26" i="4"/>
  <c r="AC24" i="4"/>
  <c r="AC23" i="4"/>
  <c r="Z24" i="4"/>
  <c r="Z25" i="4"/>
  <c r="Z26" i="4"/>
  <c r="Z23" i="4"/>
  <c r="G23" i="4"/>
  <c r="S24" i="4"/>
  <c r="S25" i="4"/>
  <c r="S26" i="4"/>
  <c r="S23" i="4"/>
  <c r="N24" i="4"/>
  <c r="N25" i="4"/>
  <c r="N26" i="4"/>
  <c r="N23" i="4"/>
  <c r="I26" i="4"/>
  <c r="I25" i="4"/>
  <c r="J24" i="4"/>
  <c r="J25" i="4"/>
  <c r="J26" i="4"/>
  <c r="J23" i="4"/>
  <c r="AO23" i="4" l="1"/>
  <c r="H23" i="4"/>
  <c r="G26" i="4"/>
  <c r="AA25" i="4"/>
  <c r="AA26" i="4"/>
  <c r="AA24" i="4"/>
  <c r="Y25" i="4"/>
  <c r="X24" i="4"/>
  <c r="AB23" i="4"/>
  <c r="AQ23" i="4" s="1"/>
  <c r="W24" i="4"/>
  <c r="W26" i="4"/>
  <c r="Y26" i="4" s="1"/>
  <c r="L26" i="4"/>
  <c r="K24" i="4"/>
  <c r="K25" i="4"/>
  <c r="AJ23" i="4"/>
  <c r="AK25" i="4" s="1"/>
  <c r="AH26" i="4"/>
  <c r="AH25" i="4"/>
  <c r="AH24" i="4"/>
  <c r="AD25" i="4"/>
  <c r="AD24" i="4"/>
  <c r="AE24" i="4" s="1"/>
  <c r="AD23" i="4"/>
  <c r="AD26" i="4"/>
  <c r="G24" i="4"/>
  <c r="H24" i="4" s="1"/>
  <c r="O24" i="4"/>
  <c r="O23" i="4"/>
  <c r="O26" i="4"/>
  <c r="P26" i="4" s="1"/>
  <c r="O25" i="4"/>
  <c r="M23" i="4"/>
  <c r="L24" i="4"/>
  <c r="K26" i="4"/>
  <c r="L25" i="4"/>
  <c r="AB26" i="4" l="1"/>
  <c r="AQ26" i="4" s="1"/>
  <c r="AO26" i="4"/>
  <c r="H26" i="4"/>
  <c r="G25" i="4"/>
  <c r="AO24" i="4"/>
  <c r="AK23" i="4"/>
  <c r="AF24" i="4"/>
  <c r="AB25" i="4"/>
  <c r="AQ25" i="4" s="1"/>
  <c r="Y24" i="4"/>
  <c r="AB24" i="4" s="1"/>
  <c r="AQ24" i="4" s="1"/>
  <c r="M26" i="4"/>
  <c r="M24" i="4"/>
  <c r="AK26" i="4"/>
  <c r="M25" i="4"/>
  <c r="P24" i="4"/>
  <c r="AI24" i="4"/>
  <c r="AJ24" i="4"/>
  <c r="AI25" i="4"/>
  <c r="AJ25" i="4"/>
  <c r="AI26" i="4"/>
  <c r="AJ26" i="4"/>
  <c r="AK24" i="4"/>
  <c r="AF25" i="4"/>
  <c r="AE25" i="4"/>
  <c r="AF26" i="4"/>
  <c r="AE26" i="4"/>
  <c r="AE23" i="4"/>
  <c r="AF23" i="4"/>
  <c r="Q26" i="4"/>
  <c r="P23" i="4"/>
  <c r="Q25" i="4"/>
  <c r="Q24" i="4"/>
  <c r="P25" i="4"/>
  <c r="Q23" i="4"/>
  <c r="AO25" i="4" l="1"/>
  <c r="H25" i="4"/>
  <c r="R24" i="4"/>
  <c r="U24" i="4" s="1"/>
  <c r="R23" i="4"/>
  <c r="U23" i="4" s="1"/>
  <c r="R25" i="4"/>
  <c r="U25" i="4" s="1"/>
  <c r="R26" i="4"/>
  <c r="AG23" i="4"/>
  <c r="AL23" i="4" s="1"/>
  <c r="AP23" i="4" s="1"/>
  <c r="T26" i="4" l="1"/>
  <c r="U26" i="4"/>
  <c r="T23" i="4"/>
  <c r="T25" i="4"/>
  <c r="T24" i="4"/>
  <c r="AG26" i="4" l="1"/>
  <c r="AL26" i="4" s="1"/>
  <c r="AP26" i="4" s="1"/>
  <c r="AG25" i="4"/>
  <c r="AL25" i="4" s="1"/>
  <c r="AP25" i="4" s="1"/>
  <c r="AG24" i="4"/>
  <c r="AL24" i="4" s="1"/>
  <c r="AP24" i="4" s="1"/>
  <c r="D36" i="4" l="1"/>
  <c r="D34" i="4"/>
  <c r="D35" i="4"/>
  <c r="D3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AE411B-3EB8-43F0-921C-E8DA4F0A180B}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<sst xmlns="http://schemas.openxmlformats.org/spreadsheetml/2006/main" count="142" uniqueCount="74">
  <si>
    <t>new</t>
  </si>
  <si>
    <t>Kenny</t>
  </si>
  <si>
    <t>Allen</t>
  </si>
  <si>
    <t>Initial</t>
  </si>
  <si>
    <t>rate</t>
  </si>
  <si>
    <t>factor</t>
  </si>
  <si>
    <t>Total</t>
  </si>
  <si>
    <t>factor1</t>
  </si>
  <si>
    <t>if L</t>
  </si>
  <si>
    <t>if W</t>
  </si>
  <si>
    <t>max avg</t>
  </si>
  <si>
    <t>Value</t>
  </si>
  <si>
    <t>TABLE D</t>
  </si>
  <si>
    <t>Rec</t>
  </si>
  <si>
    <t>Club</t>
  </si>
  <si>
    <t>W</t>
  </si>
  <si>
    <t>L</t>
  </si>
  <si>
    <t>TABLE E</t>
  </si>
  <si>
    <t>TABLE C</t>
  </si>
  <si>
    <t>TABLE B</t>
  </si>
  <si>
    <t>TABLE F</t>
  </si>
  <si>
    <t>Age Value</t>
  </si>
  <si>
    <t>Age</t>
  </si>
  <si>
    <t>Gender</t>
  </si>
  <si>
    <t>m</t>
  </si>
  <si>
    <t>Type</t>
  </si>
  <si>
    <t>Game</t>
  </si>
  <si>
    <t>AGE</t>
  </si>
  <si>
    <t>RATE</t>
  </si>
  <si>
    <t>GENDER</t>
  </si>
  <si>
    <t>PROFILE</t>
  </si>
  <si>
    <t>Score</t>
  </si>
  <si>
    <t>Tournament Regular</t>
  </si>
  <si>
    <t>Tournament Medal</t>
  </si>
  <si>
    <t>Win</t>
  </si>
  <si>
    <t>Lose</t>
  </si>
  <si>
    <t>Game Value</t>
  </si>
  <si>
    <t>f</t>
  </si>
  <si>
    <t>Team</t>
  </si>
  <si>
    <t>fact</t>
  </si>
  <si>
    <t>Gender VALUE</t>
  </si>
  <si>
    <t xml:space="preserve">Fact </t>
  </si>
  <si>
    <t>Opp Team</t>
  </si>
  <si>
    <t>Max</t>
  </si>
  <si>
    <t>Points</t>
  </si>
  <si>
    <t>Female</t>
  </si>
  <si>
    <t>Dif</t>
  </si>
  <si>
    <t>Weight</t>
  </si>
  <si>
    <t>Weight VALUE</t>
  </si>
  <si>
    <t>Rate</t>
  </si>
  <si>
    <t>Opp team</t>
  </si>
  <si>
    <t>Old</t>
  </si>
  <si>
    <t>m4 T</t>
  </si>
  <si>
    <t>m4 C</t>
  </si>
  <si>
    <t>m2f2 T</t>
  </si>
  <si>
    <t>x2f2 T</t>
  </si>
  <si>
    <t>m4 R</t>
  </si>
  <si>
    <t>x2f2 R</t>
  </si>
  <si>
    <t>TEST</t>
  </si>
  <si>
    <t>fact2</t>
  </si>
  <si>
    <t>fact3</t>
  </si>
  <si>
    <t>m2f2 R</t>
  </si>
  <si>
    <t>TABLE G</t>
  </si>
  <si>
    <t>Avg</t>
  </si>
  <si>
    <t>Max Age Dif</t>
  </si>
  <si>
    <t>Value p/year</t>
  </si>
  <si>
    <t>p/year</t>
  </si>
  <si>
    <t>SubTotal</t>
  </si>
  <si>
    <t>Table A</t>
  </si>
  <si>
    <t>Win Factor</t>
  </si>
  <si>
    <t>Male</t>
  </si>
  <si>
    <t>Recreational</t>
  </si>
  <si>
    <t>Sue</t>
  </si>
  <si>
    <t>Alice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</si>
</sst>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6" formatCode="0.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3D5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5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/>
    <xf numFmtId="164" fontId="0" fillId="0" borderId="0" xfId="0" applyNumberFormat="1"/>
    <xf numFmtId="0" fontId="2" fillId="0" borderId="2" xfId="0" applyFont="1" applyBorder="1"/>
    <xf numFmtId="0" fontId="2" fillId="0" borderId="6" xfId="0" applyFont="1" applyBorder="1"/>
    <xf numFmtId="0" fontId="2" fillId="0" borderId="2" xfId="0" applyFont="1" applyBorder="1" applyAlignment="1">
      <alignment horizontal="center"/>
    </xf>
    <xf numFmtId="0" fontId="0" fillId="2" borderId="0" xfId="0" applyFill="1"/>
    <xf numFmtId="0" fontId="0" fillId="0" borderId="7" xfId="0" applyBorder="1"/>
    <xf numFmtId="0" fontId="0" fillId="0" borderId="5" xfId="0" applyBorder="1"/>
    <xf numFmtId="0" fontId="0" fillId="0" borderId="11" xfId="0" applyBorder="1"/>
    <xf numFmtId="0" fontId="0" fillId="0" borderId="8" xfId="0" applyBorder="1"/>
    <xf numFmtId="0" fontId="0" fillId="0" borderId="9" xfId="0" applyBorder="1"/>
    <xf numFmtId="0" fontId="0" fillId="0" borderId="3" xfId="0" applyBorder="1"/>
    <xf numFmtId="0" fontId="0" fillId="0" borderId="10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/>
    <xf numFmtId="0" fontId="2" fillId="0" borderId="17" xfId="0" applyFont="1" applyBorder="1"/>
    <xf numFmtId="0" fontId="2" fillId="0" borderId="0" xfId="0" applyFont="1"/>
    <xf numFmtId="0" fontId="2" fillId="0" borderId="21" xfId="0" applyFont="1" applyBorder="1"/>
    <xf numFmtId="0" fontId="0" fillId="0" borderId="17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2" fillId="0" borderId="27" xfId="0" applyFont="1" applyBorder="1" applyAlignment="1">
      <alignment horizontal="center"/>
    </xf>
    <xf numFmtId="164" fontId="2" fillId="0" borderId="28" xfId="0" applyNumberFormat="1" applyFont="1" applyBorder="1"/>
    <xf numFmtId="164" fontId="2" fillId="0" borderId="27" xfId="0" applyNumberFormat="1" applyFont="1" applyBorder="1"/>
    <xf numFmtId="164" fontId="2" fillId="0" borderId="29" xfId="0" applyNumberFormat="1" applyFont="1" applyBorder="1"/>
    <xf numFmtId="0" fontId="0" fillId="0" borderId="30" xfId="0" applyBorder="1"/>
    <xf numFmtId="0" fontId="0" fillId="0" borderId="26" xfId="0" applyBorder="1" applyAlignment="1">
      <alignment horizontal="center"/>
    </xf>
    <xf numFmtId="9" fontId="0" fillId="0" borderId="0" xfId="0" applyNumberFormat="1"/>
    <xf numFmtId="0" fontId="0" fillId="0" borderId="10" xfId="0" applyBorder="1" applyAlignment="1">
      <alignment horizontal="left"/>
    </xf>
    <xf numFmtId="0" fontId="0" fillId="0" borderId="19" xfId="0" applyBorder="1"/>
    <xf numFmtId="0" fontId="0" fillId="0" borderId="31" xfId="0" applyBorder="1"/>
    <xf numFmtId="0" fontId="0" fillId="0" borderId="2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7" xfId="0" applyBorder="1"/>
    <xf numFmtId="0" fontId="0" fillId="0" borderId="0" xfId="0" applyAlignment="1">
      <alignment horizontal="center"/>
    </xf>
    <xf numFmtId="9" fontId="0" fillId="0" borderId="36" xfId="0" applyNumberFormat="1" applyBorder="1"/>
    <xf numFmtId="9" fontId="0" fillId="0" borderId="37" xfId="0" applyNumberFormat="1" applyBorder="1"/>
    <xf numFmtId="0" fontId="0" fillId="0" borderId="10" xfId="0" applyBorder="1" applyAlignment="1">
      <alignment horizontal="center"/>
    </xf>
    <xf numFmtId="0" fontId="0" fillId="0" borderId="18" xfId="0" applyBorder="1"/>
    <xf numFmtId="0" fontId="0" fillId="0" borderId="32" xfId="0" applyBorder="1" applyAlignment="1">
      <alignment horizontal="center"/>
    </xf>
    <xf numFmtId="2" fontId="0" fillId="0" borderId="9" xfId="0" applyNumberFormat="1" applyBorder="1"/>
    <xf numFmtId="2" fontId="0" fillId="0" borderId="33" xfId="0" applyNumberFormat="1" applyBorder="1"/>
    <xf numFmtId="0" fontId="6" fillId="0" borderId="0" xfId="0" applyFont="1"/>
    <xf numFmtId="164" fontId="6" fillId="0" borderId="0" xfId="0" applyNumberFormat="1" applyFont="1" applyAlignment="1">
      <alignment horizontal="center"/>
    </xf>
    <xf numFmtId="0" fontId="0" fillId="2" borderId="0" xfId="0" applyFill="1" applyAlignment="1">
      <alignment horizontal="right"/>
    </xf>
    <xf numFmtId="0" fontId="3" fillId="2" borderId="0" xfId="0" applyFont="1" applyFill="1" applyAlignment="1">
      <alignment horizontal="right"/>
    </xf>
    <xf numFmtId="164" fontId="0" fillId="2" borderId="0" xfId="0" applyNumberFormat="1" applyFill="1"/>
    <xf numFmtId="164" fontId="0" fillId="2" borderId="0" xfId="0" applyNumberFormat="1" applyFill="1" applyAlignment="1">
      <alignment horizontal="right"/>
    </xf>
    <xf numFmtId="0" fontId="1" fillId="0" borderId="30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1" fontId="2" fillId="0" borderId="28" xfId="0" applyNumberFormat="1" applyFont="1" applyBorder="1" applyAlignment="1" applyProtection="1">
      <alignment horizontal="center"/>
      <protection locked="0"/>
    </xf>
    <xf numFmtId="0" fontId="2" fillId="0" borderId="29" xfId="0" applyFont="1" applyBorder="1" applyAlignment="1">
      <alignment horizontal="center"/>
    </xf>
    <xf numFmtId="0" fontId="0" fillId="0" borderId="35" xfId="0" applyBorder="1"/>
    <xf numFmtId="164" fontId="2" fillId="5" borderId="2" xfId="0" applyNumberFormat="1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18" xfId="0" applyFont="1" applyFill="1" applyBorder="1" applyAlignment="1">
      <alignment horizontal="center"/>
    </xf>
    <xf numFmtId="9" fontId="2" fillId="4" borderId="17" xfId="0" applyNumberFormat="1" applyFont="1" applyFill="1" applyBorder="1" applyAlignment="1">
      <alignment horizontal="center"/>
    </xf>
    <xf numFmtId="164" fontId="2" fillId="4" borderId="19" xfId="0" applyNumberFormat="1" applyFont="1" applyFill="1" applyBorder="1" applyAlignment="1">
      <alignment horizontal="center"/>
    </xf>
    <xf numFmtId="164" fontId="2" fillId="4" borderId="2" xfId="0" applyNumberFormat="1" applyFont="1" applyFill="1" applyBorder="1" applyAlignment="1">
      <alignment horizontal="center"/>
    </xf>
    <xf numFmtId="164" fontId="2" fillId="4" borderId="20" xfId="0" applyNumberFormat="1" applyFont="1" applyFill="1" applyBorder="1" applyAlignment="1" applyProtection="1">
      <alignment horizontal="center"/>
      <protection locked="0"/>
    </xf>
    <xf numFmtId="164" fontId="0" fillId="4" borderId="23" xfId="0" applyNumberFormat="1" applyFill="1" applyBorder="1" applyAlignment="1">
      <alignment horizontal="center"/>
    </xf>
    <xf numFmtId="164" fontId="0" fillId="4" borderId="24" xfId="0" applyNumberFormat="1" applyFill="1" applyBorder="1" applyAlignment="1">
      <alignment horizontal="center"/>
    </xf>
    <xf numFmtId="164" fontId="0" fillId="4" borderId="25" xfId="0" applyNumberFormat="1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9" fontId="2" fillId="3" borderId="0" xfId="0" applyNumberFormat="1" applyFont="1" applyFill="1" applyAlignment="1">
      <alignment horizontal="center"/>
    </xf>
    <xf numFmtId="0" fontId="2" fillId="3" borderId="6" xfId="0" applyFont="1" applyFill="1" applyBorder="1" applyAlignment="1">
      <alignment horizontal="center"/>
    </xf>
    <xf numFmtId="1" fontId="2" fillId="3" borderId="19" xfId="0" applyNumberFormat="1" applyFont="1" applyFill="1" applyBorder="1" applyAlignment="1" applyProtection="1">
      <alignment horizontal="center"/>
      <protection locked="0"/>
    </xf>
    <xf numFmtId="1" fontId="2" fillId="3" borderId="2" xfId="0" applyNumberFormat="1" applyFont="1" applyFill="1" applyBorder="1" applyAlignment="1" applyProtection="1">
      <alignment horizontal="center"/>
      <protection locked="0"/>
    </xf>
    <xf numFmtId="164" fontId="2" fillId="3" borderId="2" xfId="0" applyNumberFormat="1" applyFont="1" applyFill="1" applyBorder="1" applyAlignment="1" applyProtection="1">
      <alignment horizontal="center"/>
      <protection locked="0"/>
    </xf>
    <xf numFmtId="164" fontId="2" fillId="3" borderId="20" xfId="0" applyNumberFormat="1" applyFont="1" applyFill="1" applyBorder="1" applyAlignment="1" applyProtection="1">
      <alignment horizontal="center"/>
      <protection locked="0"/>
    </xf>
    <xf numFmtId="164" fontId="0" fillId="3" borderId="23" xfId="0" applyNumberFormat="1" applyFill="1" applyBorder="1"/>
    <xf numFmtId="164" fontId="0" fillId="3" borderId="24" xfId="0" applyNumberFormat="1" applyFill="1" applyBorder="1"/>
    <xf numFmtId="164" fontId="0" fillId="3" borderId="25" xfId="0" applyNumberFormat="1" applyFill="1" applyBorder="1"/>
    <xf numFmtId="0" fontId="2" fillId="5" borderId="17" xfId="0" applyFont="1" applyFill="1" applyBorder="1"/>
    <xf numFmtId="0" fontId="2" fillId="6" borderId="0" xfId="0" applyFont="1" applyFill="1" applyAlignment="1">
      <alignment horizontal="center"/>
    </xf>
    <xf numFmtId="0" fontId="2" fillId="6" borderId="18" xfId="0" applyFont="1" applyFill="1" applyBorder="1" applyAlignment="1">
      <alignment horizontal="center"/>
    </xf>
    <xf numFmtId="9" fontId="2" fillId="6" borderId="0" xfId="0" applyNumberFormat="1" applyFont="1" applyFill="1" applyAlignment="1">
      <alignment horizontal="center"/>
    </xf>
    <xf numFmtId="0" fontId="2" fillId="6" borderId="6" xfId="0" applyFont="1" applyFill="1" applyBorder="1" applyAlignment="1">
      <alignment horizontal="center"/>
    </xf>
    <xf numFmtId="1" fontId="2" fillId="6" borderId="19" xfId="0" applyNumberFormat="1" applyFont="1" applyFill="1" applyBorder="1" applyAlignment="1" applyProtection="1">
      <alignment horizontal="center"/>
      <protection locked="0"/>
    </xf>
    <xf numFmtId="1" fontId="2" fillId="6" borderId="2" xfId="0" applyNumberFormat="1" applyFont="1" applyFill="1" applyBorder="1" applyAlignment="1" applyProtection="1">
      <alignment horizontal="center"/>
      <protection locked="0"/>
    </xf>
    <xf numFmtId="164" fontId="2" fillId="6" borderId="2" xfId="0" applyNumberFormat="1" applyFont="1" applyFill="1" applyBorder="1" applyAlignment="1" applyProtection="1">
      <alignment horizontal="center"/>
      <protection locked="0"/>
    </xf>
    <xf numFmtId="164" fontId="2" fillId="6" borderId="2" xfId="0" applyNumberFormat="1" applyFont="1" applyFill="1" applyBorder="1" applyAlignment="1">
      <alignment horizontal="center"/>
    </xf>
    <xf numFmtId="164" fontId="2" fillId="6" borderId="20" xfId="0" applyNumberFormat="1" applyFont="1" applyFill="1" applyBorder="1" applyAlignment="1" applyProtection="1">
      <alignment horizontal="center"/>
      <protection locked="0"/>
    </xf>
    <xf numFmtId="164" fontId="0" fillId="6" borderId="23" xfId="0" applyNumberFormat="1" applyFill="1" applyBorder="1"/>
    <xf numFmtId="164" fontId="0" fillId="6" borderId="24" xfId="0" applyNumberFormat="1" applyFill="1" applyBorder="1"/>
    <xf numFmtId="164" fontId="0" fillId="6" borderId="25" xfId="0" applyNumberFormat="1" applyFill="1" applyBorder="1"/>
    <xf numFmtId="0" fontId="2" fillId="5" borderId="13" xfId="0" applyFont="1" applyFill="1" applyBorder="1" applyAlignment="1">
      <alignment horizontal="center"/>
    </xf>
    <xf numFmtId="0" fontId="2" fillId="5" borderId="38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164" fontId="2" fillId="5" borderId="19" xfId="0" applyNumberFormat="1" applyFont="1" applyFill="1" applyBorder="1"/>
    <xf numFmtId="164" fontId="2" fillId="5" borderId="12" xfId="0" applyNumberFormat="1" applyFont="1" applyFill="1" applyBorder="1" applyAlignment="1">
      <alignment vertical="center"/>
    </xf>
    <xf numFmtId="164" fontId="2" fillId="5" borderId="12" xfId="0" applyNumberFormat="1" applyFont="1" applyFill="1" applyBorder="1"/>
    <xf numFmtId="1" fontId="2" fillId="5" borderId="12" xfId="0" applyNumberFormat="1" applyFont="1" applyFill="1" applyBorder="1" applyAlignment="1">
      <alignment horizontal="center"/>
    </xf>
    <xf numFmtId="164" fontId="2" fillId="5" borderId="12" xfId="0" applyNumberFormat="1" applyFont="1" applyFill="1" applyBorder="1" applyAlignment="1">
      <alignment horizontal="center"/>
    </xf>
    <xf numFmtId="164" fontId="2" fillId="5" borderId="31" xfId="0" applyNumberFormat="1" applyFont="1" applyFill="1" applyBorder="1"/>
    <xf numFmtId="0" fontId="0" fillId="5" borderId="23" xfId="0" applyFill="1" applyBorder="1"/>
    <xf numFmtId="0" fontId="0" fillId="5" borderId="39" xfId="0" applyFill="1" applyBorder="1"/>
    <xf numFmtId="0" fontId="0" fillId="5" borderId="40" xfId="0" applyFill="1" applyBorder="1"/>
    <xf numFmtId="0" fontId="0" fillId="7" borderId="26" xfId="0" applyFill="1" applyBorder="1" applyAlignment="1">
      <alignment horizontal="center"/>
    </xf>
    <xf numFmtId="0" fontId="2" fillId="7" borderId="27" xfId="0" applyFont="1" applyFill="1" applyBorder="1" applyAlignment="1">
      <alignment horizontal="center"/>
    </xf>
    <xf numFmtId="1" fontId="2" fillId="7" borderId="28" xfId="0" applyNumberFormat="1" applyFont="1" applyFill="1" applyBorder="1" applyAlignment="1">
      <alignment horizontal="center"/>
    </xf>
    <xf numFmtId="1" fontId="2" fillId="7" borderId="27" xfId="0" applyNumberFormat="1" applyFont="1" applyFill="1" applyBorder="1" applyAlignment="1">
      <alignment horizontal="center"/>
    </xf>
    <xf numFmtId="164" fontId="0" fillId="7" borderId="30" xfId="0" applyNumberFormat="1" applyFill="1" applyBorder="1" applyAlignment="1">
      <alignment horizontal="center"/>
    </xf>
    <xf numFmtId="2" fontId="0" fillId="0" borderId="8" xfId="0" applyNumberFormat="1" applyBorder="1"/>
    <xf numFmtId="0" fontId="0" fillId="7" borderId="14" xfId="0" applyFill="1" applyBorder="1"/>
    <xf numFmtId="0" fontId="0" fillId="7" borderId="16" xfId="0" applyFill="1" applyBorder="1"/>
    <xf numFmtId="0" fontId="0" fillId="4" borderId="14" xfId="0" applyFill="1" applyBorder="1"/>
    <xf numFmtId="0" fontId="0" fillId="4" borderId="15" xfId="0" applyFill="1" applyBorder="1"/>
    <xf numFmtId="0" fontId="0" fillId="4" borderId="16" xfId="0" applyFill="1" applyBorder="1"/>
    <xf numFmtId="0" fontId="0" fillId="3" borderId="16" xfId="0" applyFill="1" applyBorder="1"/>
    <xf numFmtId="0" fontId="0" fillId="6" borderId="14" xfId="0" applyFill="1" applyBorder="1"/>
    <xf numFmtId="0" fontId="0" fillId="6" borderId="15" xfId="0" applyFill="1" applyBorder="1"/>
    <xf numFmtId="0" fontId="0" fillId="6" borderId="16" xfId="0" applyFill="1" applyBorder="1"/>
    <xf numFmtId="0" fontId="0" fillId="8" borderId="14" xfId="0" applyFill="1" applyBorder="1"/>
    <xf numFmtId="0" fontId="0" fillId="8" borderId="15" xfId="0" applyFill="1" applyBorder="1"/>
    <xf numFmtId="0" fontId="5" fillId="8" borderId="15" xfId="0" applyFont="1" applyFill="1" applyBorder="1"/>
    <xf numFmtId="0" fontId="5" fillId="8" borderId="16" xfId="0" applyFont="1" applyFill="1" applyBorder="1"/>
    <xf numFmtId="0" fontId="0" fillId="0" borderId="18" xfId="0" applyBorder="1" applyAlignment="1">
      <alignment horizontal="center"/>
    </xf>
    <xf numFmtId="0" fontId="0" fillId="0" borderId="27" xfId="0" applyBorder="1"/>
    <xf numFmtId="0" fontId="4" fillId="3" borderId="20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1" fillId="0" borderId="25" xfId="0" applyFont="1" applyBorder="1" applyAlignment="1">
      <alignment horizontal="center"/>
    </xf>
    <xf numFmtId="164" fontId="0" fillId="0" borderId="30" xfId="0" applyNumberFormat="1" applyBorder="1"/>
    <xf numFmtId="166" fontId="0" fillId="0" borderId="0" xfId="0" applyNumberFormat="1"/>
    <xf numFmtId="2" fontId="0" fillId="0" borderId="37" xfId="0" applyNumberFormat="1" applyBorder="1"/>
    <xf numFmtId="2" fontId="0" fillId="0" borderId="41" xfId="0" applyNumberFormat="1" applyBorder="1"/>
    <xf numFmtId="2" fontId="0" fillId="0" borderId="31" xfId="0" applyNumberFormat="1" applyBorder="1"/>
    <xf numFmtId="2" fontId="0" fillId="0" borderId="0" xfId="0" applyNumberFormat="1" applyAlignment="1">
      <alignment horizontal="center"/>
    </xf>
    <xf numFmtId="0" fontId="2" fillId="6" borderId="17" xfId="0" applyFont="1" applyFill="1" applyBorder="1" applyAlignment="1">
      <alignment horizontal="center"/>
    </xf>
    <xf numFmtId="0" fontId="2" fillId="6" borderId="21" xfId="0" applyFont="1" applyFill="1" applyBorder="1" applyAlignment="1">
      <alignment horizontal="center"/>
    </xf>
    <xf numFmtId="2" fontId="0" fillId="0" borderId="0" xfId="0" applyNumberFormat="1"/>
    <xf numFmtId="0" fontId="0" fillId="0" borderId="17" xfId="0" applyBorder="1" applyAlignment="1">
      <alignment horizontal="right"/>
    </xf>
    <xf numFmtId="16" fontId="0" fillId="0" borderId="18" xfId="0" quotePrefix="1" applyNumberFormat="1" applyBorder="1"/>
    <xf numFmtId="0" fontId="0" fillId="0" borderId="17" xfId="0" applyBorder="1" applyAlignment="1">
      <alignment horizontal="left"/>
    </xf>
    <xf numFmtId="2" fontId="0" fillId="0" borderId="18" xfId="0" applyNumberFormat="1" applyBorder="1" applyAlignment="1">
      <alignment horizontal="center"/>
    </xf>
    <xf numFmtId="0" fontId="0" fillId="0" borderId="0" xfId="0" quotePrefix="1"/>
    <xf numFmtId="2" fontId="0" fillId="0" borderId="25" xfId="0" applyNumberFormat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164" fontId="2" fillId="5" borderId="1" xfId="0" applyNumberFormat="1" applyFont="1" applyFill="1" applyBorder="1"/>
    <xf numFmtId="0" fontId="0" fillId="5" borderId="36" xfId="0" applyFill="1" applyBorder="1"/>
    <xf numFmtId="1" fontId="2" fillId="5" borderId="1" xfId="0" applyNumberFormat="1" applyFont="1" applyFill="1" applyBorder="1" applyAlignment="1">
      <alignment horizontal="center"/>
    </xf>
    <xf numFmtId="1" fontId="2" fillId="5" borderId="4" xfId="0" applyNumberFormat="1" applyFont="1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2" fillId="9" borderId="27" xfId="0" applyFont="1" applyFill="1" applyBorder="1" applyAlignment="1">
      <alignment horizontal="center"/>
    </xf>
    <xf numFmtId="0" fontId="2" fillId="9" borderId="28" xfId="0" applyFont="1" applyFill="1" applyBorder="1" applyAlignment="1">
      <alignment horizontal="center"/>
    </xf>
    <xf numFmtId="0" fontId="1" fillId="9" borderId="30" xfId="0" applyFont="1" applyFill="1" applyBorder="1" applyAlignment="1">
      <alignment horizontal="center"/>
    </xf>
    <xf numFmtId="0" fontId="0" fillId="9" borderId="14" xfId="0" applyFill="1" applyBorder="1"/>
    <xf numFmtId="0" fontId="0" fillId="9" borderId="15" xfId="0" applyFill="1" applyBorder="1"/>
    <xf numFmtId="0" fontId="6" fillId="9" borderId="16" xfId="0" applyFont="1" applyFill="1" applyBorder="1"/>
    <xf numFmtId="0" fontId="6" fillId="0" borderId="18" xfId="0" applyFont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E3D5FF"/>
      <color rgb="FFE1F4FF"/>
      <color rgb="FFFFB7B7"/>
      <color rgb="FFCAA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B25A0-2112-4060-B3F8-C656A3CB7377}">
  <dimension ref="B1:AQ37"/>
  <sheetViews>
    <sheetView tabSelected="1" topLeftCell="J1" workbookViewId="0">
      <selection activeCell="AB23" sqref="AB23"/>
    </sheetView>
  </sheetViews>
  <sheetFormatPr defaultRowHeight="14.4" x14ac:dyDescent="0.55000000000000004"/>
  <cols>
    <col min="1" max="1" width="1.68359375" customWidth="1"/>
    <col min="2" max="2" width="7.5234375" customWidth="1"/>
    <col min="3" max="3" width="7.68359375" customWidth="1"/>
    <col min="4" max="5" width="6.68359375" customWidth="1"/>
    <col min="6" max="6" width="7.1015625" customWidth="1"/>
    <col min="7" max="7" width="7.5234375" customWidth="1"/>
    <col min="8" max="9" width="6.68359375" customWidth="1"/>
    <col min="10" max="11" width="7.41796875" customWidth="1"/>
    <col min="12" max="12" width="6.68359375" style="3" customWidth="1"/>
    <col min="13" max="13" width="6.68359375" customWidth="1"/>
    <col min="14" max="14" width="7.68359375" customWidth="1"/>
    <col min="15" max="15" width="6.68359375" customWidth="1"/>
    <col min="16" max="16" width="6.3125" customWidth="1"/>
    <col min="17" max="17" width="6.41796875" customWidth="1"/>
    <col min="18" max="18" width="6.20703125" customWidth="1"/>
    <col min="19" max="19" width="6.68359375" customWidth="1"/>
    <col min="20" max="20" width="7.7890625" customWidth="1"/>
    <col min="21" max="21" width="7.20703125" customWidth="1"/>
    <col min="22" max="22" width="9.68359375" bestFit="1" customWidth="1"/>
    <col min="23" max="23" width="7.5234375" customWidth="1"/>
    <col min="24" max="24" width="6.1015625" customWidth="1"/>
    <col min="43" max="43" width="9.7890625" customWidth="1"/>
  </cols>
  <sheetData>
    <row r="1" spans="2:38" x14ac:dyDescent="0.55000000000000004">
      <c r="L1"/>
      <c r="M1" s="3"/>
    </row>
    <row r="2" spans="2:38" x14ac:dyDescent="0.55000000000000004">
      <c r="L2"/>
      <c r="P2" s="3"/>
      <c r="Q2" s="58"/>
      <c r="X2" s="3"/>
    </row>
    <row r="3" spans="2:38" ht="14.7" thickBot="1" x14ac:dyDescent="0.6">
      <c r="C3" s="58"/>
      <c r="D3" s="58"/>
      <c r="E3" s="58"/>
      <c r="F3" s="58"/>
      <c r="G3" s="58"/>
      <c r="H3" s="58"/>
      <c r="I3" s="59"/>
      <c r="J3" s="59"/>
      <c r="K3" s="59"/>
      <c r="L3" s="59"/>
      <c r="M3" s="59"/>
      <c r="N3" s="59"/>
      <c r="O3" s="59"/>
      <c r="P3" s="59"/>
      <c r="Q3" s="59"/>
      <c r="R3" s="59"/>
      <c r="W3" s="50"/>
    </row>
    <row r="4" spans="2:38" x14ac:dyDescent="0.55000000000000004">
      <c r="B4" s="173" t="s">
        <v>68</v>
      </c>
      <c r="C4" s="174" t="s">
        <v>69</v>
      </c>
      <c r="D4" s="175"/>
      <c r="E4" s="58"/>
      <c r="F4" s="130" t="s">
        <v>19</v>
      </c>
      <c r="G4" s="131" t="s">
        <v>29</v>
      </c>
      <c r="H4" s="58"/>
      <c r="I4" s="132" t="s">
        <v>18</v>
      </c>
      <c r="J4" s="133"/>
      <c r="K4" s="133" t="s">
        <v>47</v>
      </c>
      <c r="L4" s="133"/>
      <c r="M4" s="134"/>
      <c r="N4" s="59"/>
      <c r="O4" s="132" t="s">
        <v>12</v>
      </c>
      <c r="P4" s="133"/>
      <c r="Q4" s="133" t="s">
        <v>48</v>
      </c>
      <c r="R4" s="133"/>
      <c r="S4" s="134"/>
      <c r="T4" s="50"/>
      <c r="U4" s="80" t="s">
        <v>17</v>
      </c>
      <c r="V4" s="81"/>
      <c r="W4" s="81" t="s">
        <v>40</v>
      </c>
      <c r="X4" s="81"/>
      <c r="Y4" s="135"/>
      <c r="AA4" s="136" t="s">
        <v>20</v>
      </c>
      <c r="AB4" s="137"/>
      <c r="AC4" s="137" t="s">
        <v>27</v>
      </c>
      <c r="AD4" s="138"/>
      <c r="AG4" s="139" t="s">
        <v>62</v>
      </c>
      <c r="AH4" s="140" t="s">
        <v>28</v>
      </c>
      <c r="AI4" s="140"/>
      <c r="AJ4" s="141"/>
      <c r="AK4" s="141"/>
      <c r="AL4" s="142"/>
    </row>
    <row r="5" spans="2:38" x14ac:dyDescent="0.55000000000000004">
      <c r="B5" s="29"/>
      <c r="C5" s="50" t="s">
        <v>15</v>
      </c>
      <c r="D5" s="176" t="s">
        <v>16</v>
      </c>
      <c r="E5" s="58"/>
      <c r="F5" s="29" t="s">
        <v>70</v>
      </c>
      <c r="G5" s="54">
        <v>1</v>
      </c>
      <c r="H5" s="58"/>
      <c r="I5" s="44" t="s">
        <v>71</v>
      </c>
      <c r="J5" s="16"/>
      <c r="K5" s="16"/>
      <c r="L5" s="13">
        <v>1</v>
      </c>
      <c r="M5" s="46"/>
      <c r="N5" s="59"/>
      <c r="O5" s="42" t="s">
        <v>11</v>
      </c>
      <c r="P5" s="2">
        <v>0.05</v>
      </c>
      <c r="Q5" s="14"/>
      <c r="R5" s="183" t="s">
        <v>36</v>
      </c>
      <c r="S5" s="184"/>
      <c r="T5" s="50"/>
      <c r="U5" s="42" t="s">
        <v>11</v>
      </c>
      <c r="V5" s="2">
        <v>0.05</v>
      </c>
      <c r="W5" s="14"/>
      <c r="X5" s="183" t="s">
        <v>36</v>
      </c>
      <c r="Y5" s="184"/>
      <c r="AA5" s="29" t="s">
        <v>21</v>
      </c>
      <c r="AC5">
        <v>0.05</v>
      </c>
      <c r="AD5" s="54"/>
      <c r="AG5" s="42"/>
      <c r="AH5" s="2"/>
      <c r="AI5" s="14"/>
      <c r="AJ5" s="1" t="s">
        <v>13</v>
      </c>
      <c r="AK5" s="14"/>
      <c r="AL5" s="43"/>
    </row>
    <row r="6" spans="2:38" ht="14.7" thickBot="1" x14ac:dyDescent="0.6">
      <c r="B6" s="29" t="s">
        <v>26</v>
      </c>
      <c r="C6" s="50">
        <v>0.05</v>
      </c>
      <c r="D6" s="143">
        <v>-0.05</v>
      </c>
      <c r="F6" s="30" t="s">
        <v>45</v>
      </c>
      <c r="G6" s="32">
        <v>2</v>
      </c>
      <c r="I6" s="44" t="s">
        <v>14</v>
      </c>
      <c r="J6" s="17"/>
      <c r="K6" s="16"/>
      <c r="L6" s="13">
        <v>2</v>
      </c>
      <c r="M6" s="46"/>
      <c r="O6" s="44"/>
      <c r="P6" s="16"/>
      <c r="Q6" s="9"/>
      <c r="R6" s="10" t="s">
        <v>34</v>
      </c>
      <c r="S6" s="45" t="s">
        <v>35</v>
      </c>
      <c r="U6" s="44"/>
      <c r="V6" s="16"/>
      <c r="W6" s="9"/>
      <c r="X6" s="19" t="s">
        <v>15</v>
      </c>
      <c r="Y6" s="55" t="s">
        <v>16</v>
      </c>
      <c r="AA6" s="29"/>
      <c r="AD6" s="54"/>
      <c r="AG6" s="44"/>
      <c r="AH6" s="16"/>
      <c r="AI6" s="9"/>
      <c r="AJ6" s="10"/>
      <c r="AK6" s="9"/>
      <c r="AL6" s="45"/>
    </row>
    <row r="7" spans="2:38" ht="14.7" thickBot="1" x14ac:dyDescent="0.6">
      <c r="B7" s="30"/>
      <c r="C7" s="31"/>
      <c r="D7" s="32"/>
      <c r="I7" s="47" t="s">
        <v>32</v>
      </c>
      <c r="J7" s="41"/>
      <c r="K7" s="15"/>
      <c r="L7" s="13">
        <v>3</v>
      </c>
      <c r="M7" s="46"/>
      <c r="O7" s="44" t="s">
        <v>13</v>
      </c>
      <c r="P7" s="16"/>
      <c r="Q7" s="16"/>
      <c r="R7" s="56">
        <v>0.3</v>
      </c>
      <c r="S7" s="57">
        <v>-0.3</v>
      </c>
      <c r="U7" s="44" t="s">
        <v>41</v>
      </c>
      <c r="V7" s="18">
        <v>-2</v>
      </c>
      <c r="W7" s="16"/>
      <c r="X7" s="56">
        <v>0</v>
      </c>
      <c r="Y7" s="57">
        <v>-1</v>
      </c>
      <c r="AA7" s="29" t="s">
        <v>64</v>
      </c>
      <c r="AC7">
        <v>60</v>
      </c>
      <c r="AD7" s="159"/>
      <c r="AG7" s="47"/>
      <c r="AH7" s="15"/>
      <c r="AI7" s="11"/>
      <c r="AJ7" s="12" t="s">
        <v>15</v>
      </c>
      <c r="AK7" s="12" t="s">
        <v>16</v>
      </c>
      <c r="AL7" s="46"/>
    </row>
    <row r="8" spans="2:38" ht="14.7" thickBot="1" x14ac:dyDescent="0.6">
      <c r="I8" s="30" t="s">
        <v>33</v>
      </c>
      <c r="J8" s="31"/>
      <c r="K8" s="31"/>
      <c r="L8" s="48">
        <v>4</v>
      </c>
      <c r="M8" s="49"/>
      <c r="O8" s="44" t="s">
        <v>14</v>
      </c>
      <c r="P8" s="17"/>
      <c r="Q8" s="16"/>
      <c r="R8" s="56">
        <v>0.4</v>
      </c>
      <c r="S8" s="57">
        <v>-0.4</v>
      </c>
      <c r="U8" s="44" t="s">
        <v>41</v>
      </c>
      <c r="V8" s="18">
        <v>-1</v>
      </c>
      <c r="W8" s="16"/>
      <c r="X8" s="56">
        <v>0</v>
      </c>
      <c r="Y8" s="57">
        <v>-0.5</v>
      </c>
      <c r="AA8" s="158"/>
      <c r="AC8" s="154"/>
      <c r="AD8" s="161"/>
      <c r="AG8" s="47">
        <f>L5</f>
        <v>1</v>
      </c>
      <c r="AH8" s="15" t="s">
        <v>13</v>
      </c>
      <c r="AI8" s="11"/>
      <c r="AJ8" s="12">
        <v>0.02</v>
      </c>
      <c r="AK8" s="12">
        <v>-0.02</v>
      </c>
      <c r="AL8" s="68"/>
    </row>
    <row r="9" spans="2:38" x14ac:dyDescent="0.55000000000000004">
      <c r="L9"/>
      <c r="O9" s="47" t="s">
        <v>32</v>
      </c>
      <c r="P9" s="41"/>
      <c r="Q9" s="15"/>
      <c r="R9" s="56">
        <v>0.6</v>
      </c>
      <c r="S9" s="57">
        <v>-0.4</v>
      </c>
      <c r="U9" s="47" t="s">
        <v>41</v>
      </c>
      <c r="V9" s="53">
        <v>0</v>
      </c>
      <c r="W9" s="15"/>
      <c r="X9" s="56">
        <v>0</v>
      </c>
      <c r="Y9" s="57">
        <v>0</v>
      </c>
      <c r="AA9" s="160" t="s">
        <v>65</v>
      </c>
      <c r="AC9" s="162">
        <f>AC5/AC7</f>
        <v>8.3333333333333339E-4</v>
      </c>
      <c r="AD9" s="161"/>
      <c r="AG9" s="47">
        <f>L6</f>
        <v>2</v>
      </c>
      <c r="AH9" s="15" t="s">
        <v>14</v>
      </c>
      <c r="AI9" s="15"/>
      <c r="AJ9" s="12">
        <v>0.03</v>
      </c>
      <c r="AK9" s="12">
        <v>-0.03</v>
      </c>
      <c r="AL9" s="68"/>
    </row>
    <row r="10" spans="2:38" ht="14.7" thickBot="1" x14ac:dyDescent="0.6">
      <c r="L10"/>
      <c r="O10" s="30" t="s">
        <v>33</v>
      </c>
      <c r="P10" s="31"/>
      <c r="Q10" s="31"/>
      <c r="R10" s="152">
        <v>1</v>
      </c>
      <c r="S10" s="151">
        <v>-0.2</v>
      </c>
      <c r="U10" s="47" t="s">
        <v>41</v>
      </c>
      <c r="V10" s="53">
        <v>1</v>
      </c>
      <c r="W10" s="15"/>
      <c r="X10" s="129">
        <v>0.5</v>
      </c>
      <c r="Y10" s="153">
        <v>0</v>
      </c>
      <c r="AA10" s="30"/>
      <c r="AB10" s="31"/>
      <c r="AC10" s="31"/>
      <c r="AD10" s="163"/>
      <c r="AG10" s="47">
        <f>L7</f>
        <v>3</v>
      </c>
      <c r="AH10" s="15" t="s">
        <v>32</v>
      </c>
      <c r="AI10" s="15"/>
      <c r="AJ10" s="129">
        <v>0.08</v>
      </c>
      <c r="AK10" s="12">
        <v>-0.04</v>
      </c>
      <c r="AL10" s="68"/>
    </row>
    <row r="11" spans="2:38" x14ac:dyDescent="0.55000000000000004">
      <c r="L11"/>
      <c r="P11" s="3"/>
      <c r="U11" s="47" t="s">
        <v>41</v>
      </c>
      <c r="V11" s="53">
        <v>2</v>
      </c>
      <c r="W11" s="15"/>
      <c r="X11" s="129">
        <v>1</v>
      </c>
      <c r="Y11" s="153">
        <v>0</v>
      </c>
      <c r="AC11" s="154"/>
      <c r="AD11" s="154"/>
      <c r="AG11" s="47">
        <f>L8</f>
        <v>4</v>
      </c>
      <c r="AH11" s="15" t="s">
        <v>33</v>
      </c>
      <c r="AI11" s="15"/>
      <c r="AJ11" s="56">
        <v>0.1</v>
      </c>
      <c r="AK11" s="12">
        <v>-0.01</v>
      </c>
      <c r="AL11" s="68"/>
    </row>
    <row r="12" spans="2:38" ht="14.7" thickBot="1" x14ac:dyDescent="0.6">
      <c r="L12"/>
      <c r="P12" s="3"/>
      <c r="U12" s="47"/>
      <c r="V12" s="53"/>
      <c r="W12" s="15"/>
      <c r="X12" s="129"/>
      <c r="Y12" s="153"/>
      <c r="AC12" s="154"/>
      <c r="AD12" s="154"/>
      <c r="AG12" s="30"/>
      <c r="AH12" s="31"/>
      <c r="AI12" s="31"/>
      <c r="AJ12" s="31"/>
      <c r="AK12" s="31"/>
      <c r="AL12" s="32"/>
    </row>
    <row r="13" spans="2:38" ht="14.7" thickBot="1" x14ac:dyDescent="0.6">
      <c r="L13"/>
      <c r="P13" s="3"/>
      <c r="U13" s="30"/>
      <c r="V13" s="31"/>
      <c r="W13" s="31"/>
      <c r="X13" s="51"/>
      <c r="Y13" s="52"/>
      <c r="AC13" s="154"/>
      <c r="AD13" s="154"/>
    </row>
    <row r="14" spans="2:38" x14ac:dyDescent="0.55000000000000004">
      <c r="L14"/>
      <c r="P14" s="3"/>
      <c r="AC14" s="154"/>
      <c r="AD14" s="154"/>
    </row>
    <row r="15" spans="2:38" x14ac:dyDescent="0.55000000000000004">
      <c r="L15"/>
      <c r="P15" s="3"/>
    </row>
    <row r="16" spans="2:38" x14ac:dyDescent="0.55000000000000004">
      <c r="L16"/>
      <c r="P16" s="3"/>
      <c r="Y16" s="40"/>
    </row>
    <row r="17" spans="2:43" ht="14.7" thickBot="1" x14ac:dyDescent="0.6"/>
    <row r="18" spans="2:43" x14ac:dyDescent="0.55000000000000004">
      <c r="E18" s="33"/>
      <c r="L18"/>
      <c r="M18" s="3"/>
      <c r="AQ18" s="33"/>
    </row>
    <row r="19" spans="2:43" ht="14.7" thickBot="1" x14ac:dyDescent="0.6">
      <c r="E19" s="144"/>
      <c r="L19"/>
      <c r="M19" s="3"/>
      <c r="AQ19" s="144"/>
    </row>
    <row r="20" spans="2:43" x14ac:dyDescent="0.55000000000000004">
      <c r="B20" s="188" t="s">
        <v>30</v>
      </c>
      <c r="C20" s="189"/>
      <c r="D20" s="189"/>
      <c r="E20" s="190"/>
      <c r="F20" s="21" t="s">
        <v>31</v>
      </c>
      <c r="G20" s="39" t="s">
        <v>43</v>
      </c>
      <c r="H20" s="169" t="s">
        <v>34</v>
      </c>
      <c r="I20" s="124" t="s">
        <v>25</v>
      </c>
      <c r="J20" s="185" t="s">
        <v>47</v>
      </c>
      <c r="K20" s="186"/>
      <c r="L20" s="186"/>
      <c r="M20" s="187"/>
      <c r="N20" s="80"/>
      <c r="O20" s="81"/>
      <c r="P20" s="81"/>
      <c r="Q20" s="82" t="s">
        <v>23</v>
      </c>
      <c r="R20" s="82"/>
      <c r="S20" s="82"/>
      <c r="T20" s="82"/>
      <c r="U20" s="82"/>
      <c r="V20" s="83"/>
      <c r="W20" s="180" t="s">
        <v>22</v>
      </c>
      <c r="X20" s="181"/>
      <c r="Y20" s="181"/>
      <c r="Z20" s="181"/>
      <c r="AA20" s="181"/>
      <c r="AB20" s="182"/>
      <c r="AC20" s="177" t="s">
        <v>49</v>
      </c>
      <c r="AD20" s="178"/>
      <c r="AE20" s="178"/>
      <c r="AF20" s="178"/>
      <c r="AG20" s="178"/>
      <c r="AH20" s="178"/>
      <c r="AI20" s="178"/>
      <c r="AJ20" s="178"/>
      <c r="AK20" s="178"/>
      <c r="AL20" s="178"/>
      <c r="AM20" s="178"/>
      <c r="AN20" s="178"/>
      <c r="AO20" s="178"/>
      <c r="AP20" s="179"/>
      <c r="AQ20" s="33"/>
    </row>
    <row r="21" spans="2:43" x14ac:dyDescent="0.55000000000000004">
      <c r="B21" s="22"/>
      <c r="C21" s="23"/>
      <c r="D21" s="23"/>
      <c r="E21" s="34" t="s">
        <v>3</v>
      </c>
      <c r="F21" s="24"/>
      <c r="G21" s="34" t="s">
        <v>44</v>
      </c>
      <c r="H21" s="170" t="s">
        <v>11</v>
      </c>
      <c r="I21" s="125" t="s">
        <v>11</v>
      </c>
      <c r="J21" s="70" t="s">
        <v>11</v>
      </c>
      <c r="K21" s="71" t="s">
        <v>11</v>
      </c>
      <c r="L21" s="71" t="s">
        <v>11</v>
      </c>
      <c r="M21" s="72" t="s">
        <v>11</v>
      </c>
      <c r="N21" s="84" t="s">
        <v>25</v>
      </c>
      <c r="O21" s="85" t="s">
        <v>23</v>
      </c>
      <c r="P21" s="85" t="s">
        <v>38</v>
      </c>
      <c r="Q21" s="86" t="s">
        <v>42</v>
      </c>
      <c r="R21" s="87" t="s">
        <v>39</v>
      </c>
      <c r="S21" s="87" t="s">
        <v>11</v>
      </c>
      <c r="T21" s="87" t="s">
        <v>11</v>
      </c>
      <c r="U21" s="87" t="s">
        <v>11</v>
      </c>
      <c r="V21" s="88" t="s">
        <v>11</v>
      </c>
      <c r="W21" s="155" t="s">
        <v>38</v>
      </c>
      <c r="X21" s="100" t="s">
        <v>42</v>
      </c>
      <c r="Y21" s="100" t="s">
        <v>22</v>
      </c>
      <c r="Z21" s="100" t="s">
        <v>43</v>
      </c>
      <c r="AA21" s="100" t="s">
        <v>11</v>
      </c>
      <c r="AB21" s="101" t="s">
        <v>11</v>
      </c>
      <c r="AC21" s="99" t="s">
        <v>7</v>
      </c>
      <c r="AD21" s="112" t="s">
        <v>10</v>
      </c>
      <c r="AE21" s="112" t="s">
        <v>5</v>
      </c>
      <c r="AF21" s="112" t="s">
        <v>5</v>
      </c>
      <c r="AG21" s="112" t="s">
        <v>5</v>
      </c>
      <c r="AH21" s="112" t="s">
        <v>25</v>
      </c>
      <c r="AI21" s="112" t="s">
        <v>59</v>
      </c>
      <c r="AJ21" s="112" t="s">
        <v>59</v>
      </c>
      <c r="AK21" s="112" t="s">
        <v>11</v>
      </c>
      <c r="AL21" s="164" t="s">
        <v>11</v>
      </c>
      <c r="AM21" s="164"/>
      <c r="AN21" s="164" t="s">
        <v>31</v>
      </c>
      <c r="AO21" s="164" t="s">
        <v>60</v>
      </c>
      <c r="AP21" s="113" t="s">
        <v>11</v>
      </c>
      <c r="AQ21" s="34" t="s">
        <v>0</v>
      </c>
    </row>
    <row r="22" spans="2:43" ht="15" customHeight="1" x14ac:dyDescent="0.55000000000000004">
      <c r="B22" s="22" t="s">
        <v>26</v>
      </c>
      <c r="C22" s="23" t="s">
        <v>22</v>
      </c>
      <c r="D22" s="23" t="s">
        <v>23</v>
      </c>
      <c r="E22" s="34" t="s">
        <v>4</v>
      </c>
      <c r="F22" s="24"/>
      <c r="G22" s="34"/>
      <c r="H22" s="170"/>
      <c r="I22" s="125"/>
      <c r="J22" s="73">
        <v>1</v>
      </c>
      <c r="K22" s="71" t="s">
        <v>15</v>
      </c>
      <c r="L22" s="71" t="s">
        <v>16</v>
      </c>
      <c r="M22" s="72" t="s">
        <v>6</v>
      </c>
      <c r="N22" s="89" t="s">
        <v>23</v>
      </c>
      <c r="O22" s="87" t="s">
        <v>11</v>
      </c>
      <c r="P22" s="87"/>
      <c r="Q22" s="87" t="s">
        <v>11</v>
      </c>
      <c r="R22" s="87"/>
      <c r="S22" s="90">
        <v>1</v>
      </c>
      <c r="T22" s="91" t="s">
        <v>15</v>
      </c>
      <c r="U22" s="91" t="s">
        <v>16</v>
      </c>
      <c r="V22" s="88" t="s">
        <v>6</v>
      </c>
      <c r="W22" s="156" t="s">
        <v>63</v>
      </c>
      <c r="X22" s="100" t="s">
        <v>63</v>
      </c>
      <c r="Y22" s="100" t="s">
        <v>46</v>
      </c>
      <c r="Z22" s="102" t="s">
        <v>11</v>
      </c>
      <c r="AA22" s="103" t="s">
        <v>66</v>
      </c>
      <c r="AB22" s="101" t="s">
        <v>6</v>
      </c>
      <c r="AC22" s="114"/>
      <c r="AD22" s="112" t="s">
        <v>50</v>
      </c>
      <c r="AE22" s="112" t="s">
        <v>9</v>
      </c>
      <c r="AF22" s="112" t="s">
        <v>8</v>
      </c>
      <c r="AG22" s="112"/>
      <c r="AH22" s="112"/>
      <c r="AI22" s="112" t="s">
        <v>9</v>
      </c>
      <c r="AJ22" s="112" t="s">
        <v>8</v>
      </c>
      <c r="AK22" s="112"/>
      <c r="AL22" s="164" t="s">
        <v>67</v>
      </c>
      <c r="AM22" s="164" t="s">
        <v>31</v>
      </c>
      <c r="AN22" s="164" t="s">
        <v>46</v>
      </c>
      <c r="AO22" s="164"/>
      <c r="AP22" s="113" t="s">
        <v>6</v>
      </c>
      <c r="AQ22" s="67" t="s">
        <v>4</v>
      </c>
    </row>
    <row r="23" spans="2:43" ht="15" customHeight="1" x14ac:dyDescent="0.55000000000000004">
      <c r="B23" s="25" t="s">
        <v>1</v>
      </c>
      <c r="C23" s="5">
        <v>71</v>
      </c>
      <c r="D23" s="7" t="s">
        <v>24</v>
      </c>
      <c r="E23" s="35">
        <v>3.4942000000000002</v>
      </c>
      <c r="F23" s="145">
        <v>11</v>
      </c>
      <c r="G23" s="65">
        <f>MAX(F23:F26)</f>
        <v>11</v>
      </c>
      <c r="H23" s="171">
        <f>IF((F23=G23), $C$6, $D$6)</f>
        <v>0.05</v>
      </c>
      <c r="I23" s="126">
        <v>1</v>
      </c>
      <c r="J23" s="74">
        <f>$P$5</f>
        <v>0.05</v>
      </c>
      <c r="K23" s="75">
        <f>IF(I23 = 1, $R$7, IF(I23 = 2, $R$8, IF(I23= 3, $R$9, IF(I23= 4, $R$10, 0))))</f>
        <v>0.3</v>
      </c>
      <c r="L23" s="75">
        <f>IF(I23 = 1, $S$7, IF(I23 = 2, $S$8, IF(I23= 3, $S$9, IF(I23= 4, $S$10, 0))))</f>
        <v>-0.3</v>
      </c>
      <c r="M23" s="76">
        <f>IF(F23&lt;(MAX($F$23:$F$26)),(J23*L23),(J23*K23))</f>
        <v>1.4999999999999999E-2</v>
      </c>
      <c r="N23" s="92">
        <f>IF(D23="M", 1,2)</f>
        <v>1</v>
      </c>
      <c r="O23" s="93">
        <f>N23+N24</f>
        <v>2</v>
      </c>
      <c r="P23" s="94" t="str">
        <f>IF(O23 = 2, "mm", IF(O23 = 3, "mw", IF(O23= 4, "ww", 0)))</f>
        <v>mm</v>
      </c>
      <c r="Q23" s="93">
        <f>O25</f>
        <v>4</v>
      </c>
      <c r="R23" s="93">
        <f>O23-Q23</f>
        <v>-2</v>
      </c>
      <c r="S23" s="94">
        <f>$V$5</f>
        <v>0.05</v>
      </c>
      <c r="T23" s="94">
        <f>IF(R23=-2,$X$7,IF(R23=-1,$X$8,IF(R23=0,$X$9,IF(R23=1,$X$10,IF(R23=2,$X$11,0)))))</f>
        <v>0</v>
      </c>
      <c r="U23" s="94">
        <f>IF(R23=-2,$Y$7,IF(R23=-1,$Y$8,IF(R23=0,$Y$9,IF(R23=1,$Y$10,IF(R23=2,$Y$11,0)))))</f>
        <v>-1</v>
      </c>
      <c r="V23" s="95">
        <f t="shared" ref="V23:V24" si="0">IF(F23&lt;(MAX($F$23:$F$26)),(S23*T23),(S23*T23))</f>
        <v>0</v>
      </c>
      <c r="W23" s="104">
        <f>(C23+C24)/2</f>
        <v>65.5</v>
      </c>
      <c r="X23" s="105">
        <f>W25</f>
        <v>20</v>
      </c>
      <c r="Y23" s="105">
        <f>W23-X23</f>
        <v>45.5</v>
      </c>
      <c r="Z23" s="106">
        <f>$AC$5</f>
        <v>0.05</v>
      </c>
      <c r="AA23" s="107">
        <f>$AC$9</f>
        <v>8.3333333333333339E-4</v>
      </c>
      <c r="AB23" s="108">
        <f>AA23*Y23</f>
        <v>3.7916666666666668E-2</v>
      </c>
      <c r="AC23" s="115">
        <f>E23</f>
        <v>3.4942000000000002</v>
      </c>
      <c r="AD23" s="116">
        <f>SUM(AC25:AC26)/2</f>
        <v>3.7629999999999999</v>
      </c>
      <c r="AE23" s="117">
        <f>AD23/AC23</f>
        <v>1.0769274798237078</v>
      </c>
      <c r="AF23" s="117">
        <f>AC23/AD23</f>
        <v>0.92856763220834448</v>
      </c>
      <c r="AG23" s="117">
        <f>IF(F23=$G$23,AE23,AF23)</f>
        <v>1.0769274798237078</v>
      </c>
      <c r="AH23" s="118">
        <f>I23</f>
        <v>1</v>
      </c>
      <c r="AI23" s="119">
        <f>IF(AH23=1,$AJ$8,IF(AH23=2,$AJ$9,IF(AH23=3,$AJ$10,IF(AH23=4,$AJ$11,0))))</f>
        <v>0.02</v>
      </c>
      <c r="AJ23" s="69">
        <f>IF(AH23=1,$AK$8,IF(AH23=2,$AK$9,IF(AH23=3,$AK$10,IF(AH23=4,$AK$11,0))))</f>
        <v>-0.02</v>
      </c>
      <c r="AK23" s="117">
        <f>IF(F23=$G$23,$AI$23,$AJ$23)</f>
        <v>0.02</v>
      </c>
      <c r="AL23" s="165">
        <f>AG23*AK23</f>
        <v>2.1538549596474159E-2</v>
      </c>
      <c r="AM23" s="167">
        <f>F23</f>
        <v>11</v>
      </c>
      <c r="AN23" s="167">
        <f>MAX(AM23:AM26)-MIN(AM23:AM26)</f>
        <v>2</v>
      </c>
      <c r="AO23" s="165">
        <f>(AN23*1)/G23</f>
        <v>0.18181818181818182</v>
      </c>
      <c r="AP23" s="120">
        <f>AL23*AO23</f>
        <v>3.9160999266316656E-3</v>
      </c>
      <c r="AQ23" s="35">
        <f>E23+H23+M23+V23+AB23+AP23</f>
        <v>3.6010327665932986</v>
      </c>
    </row>
    <row r="24" spans="2:43" ht="15" customHeight="1" x14ac:dyDescent="0.55000000000000004">
      <c r="B24" s="26" t="s">
        <v>2</v>
      </c>
      <c r="C24" s="27">
        <v>60</v>
      </c>
      <c r="D24" s="23" t="s">
        <v>24</v>
      </c>
      <c r="E24" s="36">
        <v>3.5565000000000002</v>
      </c>
      <c r="F24" s="146">
        <v>11</v>
      </c>
      <c r="G24" s="66">
        <f>G23</f>
        <v>11</v>
      </c>
      <c r="H24" s="171">
        <f t="shared" ref="H24:H26" si="1">IF((F24=G24), $C$6, $D$6)</f>
        <v>0.05</v>
      </c>
      <c r="I24" s="127">
        <f>I23</f>
        <v>1</v>
      </c>
      <c r="J24" s="74">
        <f>$P$5</f>
        <v>0.05</v>
      </c>
      <c r="K24" s="75">
        <f>IF(I24 = 1, $R$7, IF(I24 = 2, $R$8, IF(I24= 3, $R$9, IF(I24= 4, $R$10, 0))))</f>
        <v>0.3</v>
      </c>
      <c r="L24" s="75">
        <f>IF(I24 = 1, $S$7, IF(I24 = 2, $S$8, IF(I24= 3, $S$9, IF(I24= 4, $S$10, 0))))</f>
        <v>-0.3</v>
      </c>
      <c r="M24" s="76">
        <f>IF(F24&lt;(MAX($F$23:$F$26)),(J24*L24),(J24*K24))</f>
        <v>1.4999999999999999E-2</v>
      </c>
      <c r="N24" s="92">
        <f>IF(D24="M", 1,2)</f>
        <v>1</v>
      </c>
      <c r="O24" s="93">
        <f>N24+N23</f>
        <v>2</v>
      </c>
      <c r="P24" s="94" t="str">
        <f t="shared" ref="P24:P26" si="2">IF(O24 = 2, "mm", IF(O24 = 3, "mw", IF(O24= 4, "ww", 0)))</f>
        <v>mm</v>
      </c>
      <c r="Q24" s="93">
        <f>O26</f>
        <v>4</v>
      </c>
      <c r="R24" s="93">
        <f t="shared" ref="R24:R26" si="3">O24-Q24</f>
        <v>-2</v>
      </c>
      <c r="S24" s="94">
        <f>$V$5</f>
        <v>0.05</v>
      </c>
      <c r="T24" s="94">
        <f>IF(R24=-2,$X$7,IF(R24=-1,$X$8,IF(R24=0,$X$9,IF(R24=1,$X$10,IF(R24=2,$X$11,0)))))</f>
        <v>0</v>
      </c>
      <c r="U24" s="94">
        <f>IF(R24=-2,$Y$7,IF(R24=-1,$Y$8,IF(R24=0,$Y$9,IF(R24=1,$Y$10,IF(R24=2,$Y$11,0)))))</f>
        <v>-1</v>
      </c>
      <c r="V24" s="95">
        <f t="shared" si="0"/>
        <v>0</v>
      </c>
      <c r="W24" s="104">
        <f>W23</f>
        <v>65.5</v>
      </c>
      <c r="X24" s="105">
        <f>X23</f>
        <v>20</v>
      </c>
      <c r="Y24" s="105">
        <f t="shared" ref="Y24:Y26" si="4">W24-X24</f>
        <v>45.5</v>
      </c>
      <c r="Z24" s="106">
        <f>$AC$5</f>
        <v>0.05</v>
      </c>
      <c r="AA24" s="107">
        <f t="shared" ref="AA24:AA26" si="5">$AC$9</f>
        <v>8.3333333333333339E-4</v>
      </c>
      <c r="AB24" s="108">
        <f t="shared" ref="AB24:AB26" si="6">AA24*Y24</f>
        <v>3.7916666666666668E-2</v>
      </c>
      <c r="AC24" s="115">
        <f>E24</f>
        <v>3.5565000000000002</v>
      </c>
      <c r="AD24" s="116">
        <f>SUM(AC25:AC26)/2</f>
        <v>3.7629999999999999</v>
      </c>
      <c r="AE24" s="117">
        <f>AD24/AC24</f>
        <v>1.0580627020947559</v>
      </c>
      <c r="AF24" s="117">
        <f>AC24/AD24</f>
        <v>0.94512357161838967</v>
      </c>
      <c r="AG24" s="117">
        <f>IF(F24=$G$23,AE24,AF24)</f>
        <v>1.0580627020947559</v>
      </c>
      <c r="AH24" s="118">
        <f t="shared" ref="AH24:AH26" si="7">I24</f>
        <v>1</v>
      </c>
      <c r="AI24" s="119">
        <f>IF(AH24=1,$AJ$8,IF(AH24=2,$AJ$9,IF(AH24=3,$AJ$10,IF(AH24=4,$AJ$11,0))))</f>
        <v>0.02</v>
      </c>
      <c r="AJ24" s="69">
        <f>IF(AH24=1,$AK$8,IF(AH24=2,$AK$9,IF(AH24=3,$AK$10,IF(AH24=4,$AK$11,0))))</f>
        <v>-0.02</v>
      </c>
      <c r="AK24" s="117">
        <f>IF(F24=$G$23,$AI$23,$AJ$23)</f>
        <v>0.02</v>
      </c>
      <c r="AL24" s="165">
        <f t="shared" ref="AL24:AL26" si="8">AG24*AK24</f>
        <v>2.116125404189512E-2</v>
      </c>
      <c r="AM24" s="167">
        <f t="shared" ref="AM24:AM26" si="9">F24</f>
        <v>11</v>
      </c>
      <c r="AN24" s="168">
        <f>AN23</f>
        <v>2</v>
      </c>
      <c r="AO24" s="165">
        <f>(AN24*1)/G24</f>
        <v>0.18181818181818182</v>
      </c>
      <c r="AP24" s="120">
        <f t="shared" ref="AP24:AP26" si="10">AL24*AO24</f>
        <v>3.8475007348900219E-3</v>
      </c>
      <c r="AQ24" s="35">
        <f t="shared" ref="AQ24:AQ26" si="11">E24+H24+M24+V24+AB24+AP24</f>
        <v>3.6632641674015569</v>
      </c>
    </row>
    <row r="25" spans="2:43" ht="15" customHeight="1" x14ac:dyDescent="0.55000000000000004">
      <c r="B25" s="26" t="s">
        <v>72</v>
      </c>
      <c r="C25" s="27">
        <v>18</v>
      </c>
      <c r="D25" s="23" t="s">
        <v>37</v>
      </c>
      <c r="E25" s="36">
        <v>3.5308000000000002</v>
      </c>
      <c r="F25" s="146">
        <v>9</v>
      </c>
      <c r="G25" s="66">
        <f>G24</f>
        <v>11</v>
      </c>
      <c r="H25" s="171">
        <f t="shared" si="1"/>
        <v>-0.05</v>
      </c>
      <c r="I25" s="127">
        <f>I23</f>
        <v>1</v>
      </c>
      <c r="J25" s="74">
        <f>$P$5</f>
        <v>0.05</v>
      </c>
      <c r="K25" s="75">
        <f>IF(I25 = 1, $R$7, IF(I25 = 2, $R$8, IF(I25= 3, $R$9, IF(I25= 4, $R$10, 0))))</f>
        <v>0.3</v>
      </c>
      <c r="L25" s="75">
        <f>IF(I25 = 1, $S$7, IF(I25 = 2, $S$8, IF(I25= 3, $S$9, IF(I25= 4, $S$10, 0))))</f>
        <v>-0.3</v>
      </c>
      <c r="M25" s="76">
        <f>IF(F25&lt;(MAX($F$23:$F$26)),(J25*L25),(J25*K25))</f>
        <v>-1.4999999999999999E-2</v>
      </c>
      <c r="N25" s="92">
        <f>IF(D25="M", 1,2)</f>
        <v>2</v>
      </c>
      <c r="O25" s="93">
        <f>N25+N26</f>
        <v>4</v>
      </c>
      <c r="P25" s="94" t="str">
        <f t="shared" si="2"/>
        <v>ww</v>
      </c>
      <c r="Q25" s="93">
        <f>O23</f>
        <v>2</v>
      </c>
      <c r="R25" s="93">
        <f t="shared" si="3"/>
        <v>2</v>
      </c>
      <c r="S25" s="94">
        <f>$V$5</f>
        <v>0.05</v>
      </c>
      <c r="T25" s="94">
        <f>IF(R25=-2,$X$7,IF(R25=-1,$X$8,IF(R25=0,$X$9,IF(R25=1,$X$10,IF(R25=2,$X$11,0)))))</f>
        <v>1</v>
      </c>
      <c r="U25" s="94">
        <f>IF(R25=-2,$Y$7,IF(R25=-1,$Y$8,IF(R25=0,$Y$9,IF(R25=1,$Y$10,IF(R25=2,$Y$11,0)))))</f>
        <v>0</v>
      </c>
      <c r="V25" s="95">
        <f>IF(F25&lt;(MAX($F$23:$F$26)),(S25*T25),(S25*T25))</f>
        <v>0.05</v>
      </c>
      <c r="W25" s="104">
        <f>(C25+C26)/2</f>
        <v>20</v>
      </c>
      <c r="X25" s="105">
        <f>W23</f>
        <v>65.5</v>
      </c>
      <c r="Y25" s="105">
        <f t="shared" si="4"/>
        <v>-45.5</v>
      </c>
      <c r="Z25" s="106">
        <f>$AC$5</f>
        <v>0.05</v>
      </c>
      <c r="AA25" s="107">
        <f t="shared" si="5"/>
        <v>8.3333333333333339E-4</v>
      </c>
      <c r="AB25" s="108">
        <f t="shared" si="6"/>
        <v>-3.7916666666666668E-2</v>
      </c>
      <c r="AC25" s="115">
        <f>E25</f>
        <v>3.5308000000000002</v>
      </c>
      <c r="AD25" s="116">
        <f>SUM(AC23:AC24)/2</f>
        <v>3.5253500000000004</v>
      </c>
      <c r="AE25" s="117">
        <f>AD25/AC25</f>
        <v>0.99845644046674986</v>
      </c>
      <c r="AF25" s="117">
        <f t="shared" ref="AF25:AF26" si="12">AC25/AD25</f>
        <v>1.0015459457926164</v>
      </c>
      <c r="AG25" s="117">
        <f>IF(F25=$G$23,AE25,AF25)</f>
        <v>1.0015459457926164</v>
      </c>
      <c r="AH25" s="118">
        <f t="shared" si="7"/>
        <v>1</v>
      </c>
      <c r="AI25" s="119">
        <f>IF(AH25=1,$AJ$8,IF(AH25=2,$AJ$9,IF(AH25=3,$AJ$10,IF(AH25=4,$AJ$11,0))))</f>
        <v>0.02</v>
      </c>
      <c r="AJ25" s="69">
        <f>IF(AH25=1,$AK$8,IF(AH25=2,$AK$9,IF(AH25=3,$AK$10,IF(AH25=4,$AK$11,0))))</f>
        <v>-0.02</v>
      </c>
      <c r="AK25" s="117">
        <f>IF(F25=$G$23,$AI$23,$AJ$23)</f>
        <v>-0.02</v>
      </c>
      <c r="AL25" s="165">
        <f t="shared" si="8"/>
        <v>-2.0030918915852326E-2</v>
      </c>
      <c r="AM25" s="167">
        <f t="shared" si="9"/>
        <v>9</v>
      </c>
      <c r="AN25" s="168">
        <f>AN23</f>
        <v>2</v>
      </c>
      <c r="AO25" s="165">
        <f>(AN25*1)/G25</f>
        <v>0.18181818181818182</v>
      </c>
      <c r="AP25" s="120">
        <f t="shared" si="10"/>
        <v>-3.6419852574276958E-3</v>
      </c>
      <c r="AQ25" s="35">
        <f t="shared" si="11"/>
        <v>3.4742413480759056</v>
      </c>
    </row>
    <row r="26" spans="2:43" x14ac:dyDescent="0.55000000000000004">
      <c r="B26" s="28" t="s">
        <v>73</v>
      </c>
      <c r="C26" s="6">
        <v>22</v>
      </c>
      <c r="D26" s="20" t="s">
        <v>37</v>
      </c>
      <c r="E26" s="37">
        <v>3.9952000000000001</v>
      </c>
      <c r="F26" s="147">
        <v>9</v>
      </c>
      <c r="G26" s="66">
        <f>G23</f>
        <v>11</v>
      </c>
      <c r="H26" s="171">
        <f t="shared" si="1"/>
        <v>-0.05</v>
      </c>
      <c r="I26" s="127">
        <f>I23</f>
        <v>1</v>
      </c>
      <c r="J26" s="74">
        <f>$P$5</f>
        <v>0.05</v>
      </c>
      <c r="K26" s="75">
        <f>IF(I26 = 1, $R$7, IF(I26 = 2, $R$8, IF(I26= 3, $R$9, IF(I26= 4, $R$10, 0))))</f>
        <v>0.3</v>
      </c>
      <c r="L26" s="75">
        <f>IF(I26 = 1, $S$7, IF(I26 = 2, $S$8, IF(I26= 3, $S$9, IF(I26= 4, $S$10, 0))))</f>
        <v>-0.3</v>
      </c>
      <c r="M26" s="76">
        <f>IF(F26&lt;(MAX($F$23:$F$26)),(J26*L26),(J26*K26))</f>
        <v>-1.4999999999999999E-2</v>
      </c>
      <c r="N26" s="92">
        <f>IF(D26="M", 1,2)</f>
        <v>2</v>
      </c>
      <c r="O26" s="93">
        <f>N26+N25</f>
        <v>4</v>
      </c>
      <c r="P26" s="94" t="str">
        <f t="shared" si="2"/>
        <v>ww</v>
      </c>
      <c r="Q26" s="93">
        <f>O24</f>
        <v>2</v>
      </c>
      <c r="R26" s="93">
        <f t="shared" si="3"/>
        <v>2</v>
      </c>
      <c r="S26" s="94">
        <f>$V$5</f>
        <v>0.05</v>
      </c>
      <c r="T26" s="94">
        <f>IF(R26=-2,$X$7,IF(R26=-1,$X$8,IF(R26=0,$X$9,IF(R26=1,$X$10,IF(R26=2,$X$11,0)))))</f>
        <v>1</v>
      </c>
      <c r="U26" s="94">
        <f>IF(R26=-2,$Y$7,IF(R26=-1,$Y$8,IF(R26=0,$Y$9,IF(R26=1,$Y$10,IF(R26=2,$Y$11,0)))))</f>
        <v>0</v>
      </c>
      <c r="V26" s="95">
        <f>IF(F26&lt;(MAX($F$23:$F$26)),(S26*T26),(S26*T26))</f>
        <v>0.05</v>
      </c>
      <c r="W26" s="104">
        <f>W25</f>
        <v>20</v>
      </c>
      <c r="X26" s="105">
        <f>X25</f>
        <v>65.5</v>
      </c>
      <c r="Y26" s="105">
        <f t="shared" si="4"/>
        <v>-45.5</v>
      </c>
      <c r="Z26" s="106">
        <f>$AC$5</f>
        <v>0.05</v>
      </c>
      <c r="AA26" s="107">
        <f t="shared" si="5"/>
        <v>8.3333333333333339E-4</v>
      </c>
      <c r="AB26" s="108">
        <f t="shared" si="6"/>
        <v>-3.7916666666666668E-2</v>
      </c>
      <c r="AC26" s="115">
        <f>E26</f>
        <v>3.9952000000000001</v>
      </c>
      <c r="AD26" s="116">
        <f>SUM(AC23:AC24)/2</f>
        <v>3.5253500000000004</v>
      </c>
      <c r="AE26" s="117">
        <f>AD26/AC26</f>
        <v>0.882396375650781</v>
      </c>
      <c r="AF26" s="117">
        <f t="shared" si="12"/>
        <v>1.1332775469102359</v>
      </c>
      <c r="AG26" s="117">
        <f>IF(F26=$G$23,AE26,AF26)</f>
        <v>1.1332775469102359</v>
      </c>
      <c r="AH26" s="118">
        <f t="shared" si="7"/>
        <v>1</v>
      </c>
      <c r="AI26" s="119">
        <f>IF(AH26=1,$AJ$8,IF(AH26=2,$AJ$9,IF(AH26=3,$AJ$10,IF(AH26=4,$AJ$11,0))))</f>
        <v>0.02</v>
      </c>
      <c r="AJ26" s="69">
        <f>IF(AH26=1,$AK$8,IF(AH26=2,$AK$9,IF(AH26=3,$AK$10,IF(AH26=4,$AK$11,0))))</f>
        <v>-0.02</v>
      </c>
      <c r="AK26" s="117">
        <f>IF(F26=$G$23,$AI$23,$AJ$23)</f>
        <v>-0.02</v>
      </c>
      <c r="AL26" s="165">
        <f t="shared" si="8"/>
        <v>-2.2665550938204718E-2</v>
      </c>
      <c r="AM26" s="167">
        <f t="shared" si="9"/>
        <v>9</v>
      </c>
      <c r="AN26" s="168">
        <f>AN23</f>
        <v>2</v>
      </c>
      <c r="AO26" s="165">
        <f>(AN26*1)/G26</f>
        <v>0.18181818181818182</v>
      </c>
      <c r="AP26" s="120">
        <f t="shared" si="10"/>
        <v>-4.1210092614917667E-3</v>
      </c>
      <c r="AQ26" s="35">
        <f t="shared" si="11"/>
        <v>3.9381623240718415</v>
      </c>
    </row>
    <row r="27" spans="2:43" ht="15" customHeight="1" thickBot="1" x14ac:dyDescent="0.6">
      <c r="B27" s="30"/>
      <c r="C27" s="31"/>
      <c r="D27" s="31"/>
      <c r="E27" s="149"/>
      <c r="F27" s="148"/>
      <c r="G27" s="64"/>
      <c r="H27" s="172"/>
      <c r="I27" s="128"/>
      <c r="J27" s="77"/>
      <c r="K27" s="78"/>
      <c r="L27" s="78"/>
      <c r="M27" s="79"/>
      <c r="N27" s="96"/>
      <c r="O27" s="97"/>
      <c r="P27" s="97"/>
      <c r="Q27" s="97"/>
      <c r="R27" s="97"/>
      <c r="S27" s="97"/>
      <c r="T27" s="97"/>
      <c r="U27" s="97"/>
      <c r="V27" s="98"/>
      <c r="W27" s="109"/>
      <c r="X27" s="110"/>
      <c r="Y27" s="110"/>
      <c r="Z27" s="110"/>
      <c r="AA27" s="110"/>
      <c r="AB27" s="111"/>
      <c r="AC27" s="121"/>
      <c r="AD27" s="122"/>
      <c r="AE27" s="122"/>
      <c r="AF27" s="122"/>
      <c r="AG27" s="122"/>
      <c r="AH27" s="122"/>
      <c r="AI27" s="122"/>
      <c r="AJ27" s="122"/>
      <c r="AK27" s="122"/>
      <c r="AL27" s="166"/>
      <c r="AM27" s="166"/>
      <c r="AN27" s="166"/>
      <c r="AO27" s="166"/>
      <c r="AP27" s="123"/>
      <c r="AQ27" s="38"/>
    </row>
    <row r="28" spans="2:43" x14ac:dyDescent="0.55000000000000004">
      <c r="E28" s="144"/>
      <c r="L28"/>
      <c r="M28" s="3"/>
      <c r="AQ28" s="144"/>
    </row>
    <row r="29" spans="2:43" ht="14.7" thickBot="1" x14ac:dyDescent="0.6">
      <c r="E29" s="38"/>
      <c r="L29"/>
      <c r="M29" s="3"/>
      <c r="AQ29" s="38"/>
    </row>
    <row r="31" spans="2:43" x14ac:dyDescent="0.55000000000000004">
      <c r="D31" s="191" t="s">
        <v>58</v>
      </c>
      <c r="E31" s="191"/>
      <c r="F31" s="191"/>
      <c r="G31" s="191"/>
      <c r="H31" s="191"/>
      <c r="I31" s="191"/>
      <c r="J31" s="191"/>
      <c r="K31" s="191"/>
      <c r="L31" s="191"/>
      <c r="M31" s="191"/>
      <c r="N31" s="8"/>
      <c r="O31" s="8"/>
      <c r="AH31" s="4"/>
    </row>
    <row r="32" spans="2:43" x14ac:dyDescent="0.55000000000000004">
      <c r="D32" s="8"/>
      <c r="E32" s="8"/>
      <c r="F32" s="8"/>
      <c r="G32" s="8"/>
      <c r="H32" s="8"/>
      <c r="I32" s="8"/>
      <c r="J32" s="8" t="s">
        <v>57</v>
      </c>
      <c r="K32" s="8" t="s">
        <v>55</v>
      </c>
      <c r="L32" s="8" t="s">
        <v>61</v>
      </c>
      <c r="M32" s="8" t="s">
        <v>54</v>
      </c>
      <c r="N32" s="8"/>
      <c r="O32" s="60" t="s">
        <v>56</v>
      </c>
      <c r="P32" s="61" t="s">
        <v>53</v>
      </c>
      <c r="Q32" s="61" t="s">
        <v>52</v>
      </c>
      <c r="R32" s="61" t="s">
        <v>51</v>
      </c>
      <c r="W32" s="150"/>
      <c r="Y32" s="157"/>
      <c r="Z32" s="4"/>
    </row>
    <row r="33" spans="2:26" x14ac:dyDescent="0.55000000000000004">
      <c r="B33">
        <v>51</v>
      </c>
      <c r="D33" s="62">
        <f>AQ23</f>
        <v>3.6010327665932986</v>
      </c>
      <c r="E33" s="62"/>
      <c r="F33" s="62"/>
      <c r="G33" s="8">
        <v>3.4943542976939206</v>
      </c>
      <c r="H33" s="62">
        <v>3.5119838274932618</v>
      </c>
      <c r="I33" s="8">
        <v>3.5015870020964366</v>
      </c>
      <c r="J33" s="8">
        <v>3.5015870020964366</v>
      </c>
      <c r="K33" s="8">
        <v>3.4965870020964362</v>
      </c>
      <c r="L33" s="8">
        <v>3.4977190775681342</v>
      </c>
      <c r="M33" s="62">
        <v>3.4927190775681338</v>
      </c>
      <c r="N33" s="62"/>
      <c r="O33" s="63">
        <v>3.4660524109014679</v>
      </c>
      <c r="P33" s="63">
        <v>3.4516184486373165</v>
      </c>
      <c r="Q33" s="63">
        <v>3.4610524109014675</v>
      </c>
      <c r="R33" s="60">
        <v>3.457836363636364</v>
      </c>
      <c r="W33" s="150"/>
      <c r="Y33" s="157"/>
      <c r="Z33" s="4"/>
    </row>
    <row r="34" spans="2:26" x14ac:dyDescent="0.55000000000000004">
      <c r="B34">
        <v>60</v>
      </c>
      <c r="D34" s="62">
        <f>AQ24</f>
        <v>3.6632641674015569</v>
      </c>
      <c r="E34" s="62"/>
      <c r="F34" s="62"/>
      <c r="G34" s="8">
        <v>3.4433102504546911</v>
      </c>
      <c r="H34" s="62">
        <v>3.4758611322654716</v>
      </c>
      <c r="I34" s="8">
        <v>3.4381098095141494</v>
      </c>
      <c r="J34" s="8">
        <v>3.4523690687734083</v>
      </c>
      <c r="K34" s="8">
        <v>3.447369068773408</v>
      </c>
      <c r="L34" s="8">
        <v>3.4471533720775094</v>
      </c>
      <c r="M34" s="62">
        <v>3.442153372077509</v>
      </c>
      <c r="N34" s="62"/>
      <c r="O34" s="63">
        <v>3.4154867054108431</v>
      </c>
      <c r="P34" s="63">
        <v>3.4012121903962269</v>
      </c>
      <c r="Q34" s="63">
        <v>3.4104867054108428</v>
      </c>
      <c r="R34" s="60">
        <v>3.5206857674168939</v>
      </c>
      <c r="W34" s="150"/>
      <c r="Y34" s="157"/>
      <c r="Z34" s="4"/>
    </row>
    <row r="35" spans="2:26" x14ac:dyDescent="0.55000000000000004">
      <c r="B35">
        <v>45</v>
      </c>
      <c r="D35" s="62">
        <f>AQ25</f>
        <v>3.4742413480759056</v>
      </c>
      <c r="E35" s="62"/>
      <c r="F35" s="62"/>
      <c r="G35" s="8">
        <v>3.6637270598009222</v>
      </c>
      <c r="H35" s="62">
        <v>3.6636658838634575</v>
      </c>
      <c r="I35" s="8">
        <v>3.6703885729390877</v>
      </c>
      <c r="J35" s="8">
        <v>3.6636658838634575</v>
      </c>
      <c r="K35" s="8">
        <v>3.7036658838634575</v>
      </c>
      <c r="L35" s="8">
        <v>3.6603019625613924</v>
      </c>
      <c r="M35" s="62">
        <v>3.7999960828740695</v>
      </c>
      <c r="N35" s="62"/>
      <c r="O35" s="63">
        <v>3.6936352958947252</v>
      </c>
      <c r="P35" s="63">
        <v>3.7185741199572613</v>
      </c>
      <c r="Q35" s="63">
        <v>3.8333294162074023</v>
      </c>
      <c r="R35" s="60">
        <v>3.5920997891283974</v>
      </c>
      <c r="W35" s="150"/>
      <c r="Y35" s="157"/>
      <c r="Z35" s="4"/>
    </row>
    <row r="36" spans="2:26" x14ac:dyDescent="0.55000000000000004">
      <c r="B36">
        <v>54</v>
      </c>
      <c r="D36" s="62">
        <f>AQ26</f>
        <v>3.9381623240718415</v>
      </c>
      <c r="E36" s="62"/>
      <c r="F36" s="62"/>
      <c r="G36" s="8">
        <v>4.1268191586766871</v>
      </c>
      <c r="H36" s="62">
        <v>4.1282311537243386</v>
      </c>
      <c r="I36" s="8">
        <v>4.1725075309418935</v>
      </c>
      <c r="J36" s="8">
        <v>4.124440304051137</v>
      </c>
      <c r="K36" s="8">
        <v>4.1644403040511371</v>
      </c>
      <c r="L36" s="8">
        <v>4.1199175434050268</v>
      </c>
      <c r="M36" s="62">
        <v>4.2480232702772733</v>
      </c>
      <c r="N36" s="62"/>
      <c r="O36" s="63">
        <v>4.1532508767383609</v>
      </c>
      <c r="P36" s="63">
        <v>4.1758720221128103</v>
      </c>
      <c r="Q36" s="63">
        <v>4.2813566036106074</v>
      </c>
      <c r="R36" s="60">
        <v>4.0566991228110094</v>
      </c>
      <c r="Y36" s="157"/>
      <c r="Z36" s="4"/>
    </row>
    <row r="37" spans="2:26" x14ac:dyDescent="0.55000000000000004">
      <c r="Y37" s="157"/>
      <c r="Z37" s="4"/>
    </row>
  </sheetData>
  <mergeCells count="7">
    <mergeCell ref="B20:E20"/>
    <mergeCell ref="D31:M31"/>
    <mergeCell ref="AC20:AP20"/>
    <mergeCell ref="W20:AB20"/>
    <mergeCell ref="R5:S5"/>
    <mergeCell ref="J20:M20"/>
    <mergeCell ref="X5:Y5"/>
  </mergeCells>
  <pageMargins left="0.7" right="0.7" top="0.75" bottom="0.75" header="0.3" footer="0.3"/>
  <pageSetup orientation="portrait" horizontalDpi="1200" verticalDpi="1200" r:id="rId1"/>
  <ignoredErrors>
    <ignoredError sqref="M23:M26 G24:G26 Q23:Q26 S23:S26 T24:T26 Z23:Z26" unlocked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D62963-85CD-4CA1-B201-C3ABB52970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kencr</dc:creator>
  <cp:lastModifiedBy>Allen Westermann</cp:lastModifiedBy>
  <cp:lastPrinted>2022-04-22T19:18:47Z</cp:lastPrinted>
  <dcterms:created xsi:type="dcterms:W3CDTF">2022-02-11T20:54:39Z</dcterms:created>
  <dcterms:modified xsi:type="dcterms:W3CDTF">2026-04-06T18:55:29Z</dcterms:modified>
</cp:coreProperties>
</file>